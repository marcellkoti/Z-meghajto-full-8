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5880907E-ABAF-4C08-AB96-0D847DFC2F59}" xr6:coauthVersionLast="36" xr6:coauthVersionMax="36" xr10:uidLastSave="{00000000-0000-0000-0000-000000000000}"/>
  <bookViews>
    <workbookView xWindow="0" yWindow="0" windowWidth="21600" windowHeight="9405" xr2:uid="{E5A7488C-CE4D-4D0C-8E84-2679028B38B0}"/>
  </bookViews>
  <sheets>
    <sheet name="Vizeink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9" i="1" l="1"/>
  <c r="C18" i="1"/>
  <c r="D18" i="1"/>
  <c r="E18" i="1"/>
  <c r="B18" i="1"/>
  <c r="E17" i="1"/>
  <c r="D17" i="1"/>
  <c r="C17" i="1"/>
  <c r="B17" i="1"/>
  <c r="I4" i="1"/>
  <c r="J4" i="1"/>
  <c r="K4" i="1"/>
  <c r="I5" i="1"/>
  <c r="J5" i="1"/>
  <c r="K5" i="1"/>
  <c r="I6" i="1"/>
  <c r="J6" i="1"/>
  <c r="K6" i="1"/>
  <c r="I7" i="1"/>
  <c r="J7" i="1"/>
  <c r="K7" i="1"/>
  <c r="I8" i="1"/>
  <c r="J8" i="1"/>
  <c r="K8" i="1"/>
  <c r="I9" i="1"/>
  <c r="J9" i="1"/>
  <c r="K9" i="1"/>
  <c r="I10" i="1"/>
  <c r="J10" i="1"/>
  <c r="K10" i="1"/>
  <c r="I11" i="1"/>
  <c r="J11" i="1"/>
  <c r="K11" i="1"/>
  <c r="I12" i="1"/>
  <c r="J12" i="1"/>
  <c r="K12" i="1"/>
  <c r="I13" i="1"/>
  <c r="J13" i="1"/>
  <c r="K13" i="1"/>
  <c r="I14" i="1"/>
  <c r="J14" i="1"/>
  <c r="K14" i="1"/>
  <c r="I15" i="1"/>
  <c r="J15" i="1"/>
  <c r="K15" i="1"/>
  <c r="H5" i="1"/>
  <c r="H6" i="1"/>
  <c r="H7" i="1"/>
  <c r="H8" i="1"/>
  <c r="H9" i="1"/>
  <c r="H10" i="1"/>
  <c r="H11" i="1"/>
  <c r="H12" i="1"/>
  <c r="H13" i="1"/>
  <c r="H14" i="1"/>
  <c r="H15" i="1"/>
  <c r="H4" i="1"/>
</calcChain>
</file>

<file path=xl/sharedStrings.xml><?xml version="1.0" encoding="utf-8"?>
<sst xmlns="http://schemas.openxmlformats.org/spreadsheetml/2006/main" count="48" uniqueCount="27">
  <si>
    <t>Ásványianyag-tartalom 1 literben</t>
  </si>
  <si>
    <t>Ásványvizek</t>
  </si>
  <si>
    <t>Ca2+</t>
  </si>
  <si>
    <t>K+</t>
  </si>
  <si>
    <t>Mg2+</t>
  </si>
  <si>
    <t>Na+</t>
  </si>
  <si>
    <t>Kalcium</t>
  </si>
  <si>
    <t>Kálium</t>
  </si>
  <si>
    <t>Magnézium</t>
  </si>
  <si>
    <t>Nátrium</t>
  </si>
  <si>
    <t>Fonyód</t>
  </si>
  <si>
    <t>Szentkirály</t>
  </si>
  <si>
    <t>Csány</t>
  </si>
  <si>
    <t>Zalaszentgrót</t>
  </si>
  <si>
    <t>Óbuda</t>
  </si>
  <si>
    <t>Parád</t>
  </si>
  <si>
    <t>Margitsziget</t>
  </si>
  <si>
    <t>Visegrád</t>
  </si>
  <si>
    <t>Balf</t>
  </si>
  <si>
    <t>Lillafüred</t>
  </si>
  <si>
    <t>Kékkút</t>
  </si>
  <si>
    <t>Mizse</t>
  </si>
  <si>
    <t>Legnagyobb</t>
  </si>
  <si>
    <t>Lelőhelye</t>
  </si>
  <si>
    <t>Átlagos</t>
  </si>
  <si>
    <t>Napi szükséglet</t>
  </si>
  <si>
    <t>A napi szükséglet százaléka 1 literben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</si>
</sst>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1B319-8E72-4472-AB89-57F7F76D46A0}">
  <dimension ref="A1:K20"/>
  <sheetViews>
    <sheetView tabSelected="1" zoomScale="85" zoomScaleNormal="85" workbookViewId="0">
      <selection activeCell="F20" sqref="F20"/>
    </sheetView>
  </sheetViews>
  <sheetFormatPr defaultRowHeight="15" x14ac:dyDescent="0.25"/>
  <cols>
    <col min="2" max="2" width="10.42578125" bestFit="1" customWidth="1"/>
    <col min="7" max="7" width="19" customWidth="1"/>
  </cols>
  <sheetData>
    <row r="1" spans="1:11" x14ac:dyDescent="0.25">
      <c r="B1" t="s">
        <v>0</v>
      </c>
      <c r="H1" t="s">
        <v>26</v>
      </c>
    </row>
    <row r="2" spans="1:11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G2" t="s">
        <v>1</v>
      </c>
      <c r="H2" t="s">
        <v>2</v>
      </c>
      <c r="I2" t="s">
        <v>3</v>
      </c>
      <c r="J2" t="s">
        <v>4</v>
      </c>
      <c r="K2" t="s">
        <v>5</v>
      </c>
    </row>
    <row r="3" spans="1:11" x14ac:dyDescent="0.25">
      <c r="B3" t="s">
        <v>6</v>
      </c>
      <c r="C3" t="s">
        <v>7</v>
      </c>
      <c r="D3" t="s">
        <v>8</v>
      </c>
      <c r="E3" t="s">
        <v>9</v>
      </c>
      <c r="H3" t="s">
        <v>6</v>
      </c>
      <c r="I3" t="s">
        <v>7</v>
      </c>
      <c r="J3" t="s">
        <v>8</v>
      </c>
      <c r="K3" t="s">
        <v>9</v>
      </c>
    </row>
    <row r="4" spans="1:11" x14ac:dyDescent="0.25">
      <c r="A4" t="s">
        <v>10</v>
      </c>
      <c r="B4">
        <v>35.1</v>
      </c>
      <c r="C4">
        <v>3.15</v>
      </c>
      <c r="D4">
        <v>15.05</v>
      </c>
      <c r="E4">
        <v>148</v>
      </c>
      <c r="G4" t="s">
        <v>10</v>
      </c>
      <c r="H4" s="1">
        <f>B4/H$17</f>
        <v>3.9E-2</v>
      </c>
      <c r="I4" s="1">
        <f t="shared" ref="I4:K15" si="0">C4/I$17</f>
        <v>8.9999999999999998E-4</v>
      </c>
      <c r="J4" s="1">
        <f t="shared" si="0"/>
        <v>4.3000000000000003E-2</v>
      </c>
      <c r="K4" s="1">
        <f t="shared" si="0"/>
        <v>7.3999999999999996E-2</v>
      </c>
    </row>
    <row r="5" spans="1:11" x14ac:dyDescent="0.25">
      <c r="A5" t="s">
        <v>11</v>
      </c>
      <c r="B5">
        <v>71.099999999999994</v>
      </c>
      <c r="C5">
        <v>0.7</v>
      </c>
      <c r="D5">
        <v>23.8</v>
      </c>
      <c r="E5">
        <v>22</v>
      </c>
      <c r="G5" t="s">
        <v>11</v>
      </c>
      <c r="H5" s="1">
        <f t="shared" ref="H5:H15" si="1">B5/H$17</f>
        <v>7.8999999999999987E-2</v>
      </c>
      <c r="I5" s="1">
        <f t="shared" si="0"/>
        <v>1.9999999999999998E-4</v>
      </c>
      <c r="J5" s="1">
        <f t="shared" si="0"/>
        <v>6.8000000000000005E-2</v>
      </c>
      <c r="K5" s="1">
        <f t="shared" si="0"/>
        <v>1.0999999999999999E-2</v>
      </c>
    </row>
    <row r="6" spans="1:11" x14ac:dyDescent="0.25">
      <c r="A6" t="s">
        <v>12</v>
      </c>
      <c r="B6">
        <v>72</v>
      </c>
      <c r="C6">
        <v>1.05</v>
      </c>
      <c r="D6">
        <v>26.95</v>
      </c>
      <c r="E6">
        <v>44</v>
      </c>
      <c r="G6" t="s">
        <v>12</v>
      </c>
      <c r="H6" s="1">
        <f t="shared" si="1"/>
        <v>0.08</v>
      </c>
      <c r="I6" s="1">
        <f t="shared" si="0"/>
        <v>3.0000000000000003E-4</v>
      </c>
      <c r="J6" s="1">
        <f t="shared" si="0"/>
        <v>7.6999999999999999E-2</v>
      </c>
      <c r="K6" s="1">
        <f t="shared" si="0"/>
        <v>2.1999999999999999E-2</v>
      </c>
    </row>
    <row r="7" spans="1:11" x14ac:dyDescent="0.25">
      <c r="A7" t="s">
        <v>13</v>
      </c>
      <c r="B7">
        <v>90.9</v>
      </c>
      <c r="C7">
        <v>2.4500000000000002</v>
      </c>
      <c r="D7">
        <v>43.4</v>
      </c>
      <c r="E7">
        <v>16</v>
      </c>
      <c r="G7" t="s">
        <v>13</v>
      </c>
      <c r="H7" s="1">
        <f t="shared" si="1"/>
        <v>0.10100000000000001</v>
      </c>
      <c r="I7" s="1">
        <f t="shared" si="0"/>
        <v>7.000000000000001E-4</v>
      </c>
      <c r="J7" s="1">
        <f t="shared" si="0"/>
        <v>0.124</v>
      </c>
      <c r="K7" s="1">
        <f t="shared" si="0"/>
        <v>8.0000000000000002E-3</v>
      </c>
    </row>
    <row r="8" spans="1:11" x14ac:dyDescent="0.25">
      <c r="A8" t="s">
        <v>14</v>
      </c>
      <c r="B8">
        <v>102.6</v>
      </c>
      <c r="C8">
        <v>1.75</v>
      </c>
      <c r="D8">
        <v>46.9</v>
      </c>
      <c r="E8">
        <v>12</v>
      </c>
      <c r="G8" t="s">
        <v>14</v>
      </c>
      <c r="H8" s="1">
        <f t="shared" si="1"/>
        <v>0.11399999999999999</v>
      </c>
      <c r="I8" s="1">
        <f t="shared" si="0"/>
        <v>5.0000000000000001E-4</v>
      </c>
      <c r="J8" s="1">
        <f t="shared" si="0"/>
        <v>0.13400000000000001</v>
      </c>
      <c r="K8" s="1">
        <f t="shared" si="0"/>
        <v>6.0000000000000001E-3</v>
      </c>
    </row>
    <row r="9" spans="1:11" x14ac:dyDescent="0.25">
      <c r="A9" t="s">
        <v>15</v>
      </c>
      <c r="B9">
        <v>169.2</v>
      </c>
      <c r="C9">
        <v>9.1</v>
      </c>
      <c r="D9">
        <v>34.299999999999997</v>
      </c>
      <c r="E9">
        <v>164</v>
      </c>
      <c r="G9" t="s">
        <v>15</v>
      </c>
      <c r="H9" s="1">
        <f t="shared" si="1"/>
        <v>0.188</v>
      </c>
      <c r="I9" s="1">
        <f t="shared" si="0"/>
        <v>2.5999999999999999E-3</v>
      </c>
      <c r="J9" s="1">
        <f t="shared" si="0"/>
        <v>9.799999999999999E-2</v>
      </c>
      <c r="K9" s="1">
        <f t="shared" si="0"/>
        <v>8.2000000000000003E-2</v>
      </c>
    </row>
    <row r="10" spans="1:11" x14ac:dyDescent="0.25">
      <c r="A10" t="s">
        <v>16</v>
      </c>
      <c r="B10">
        <v>171.9</v>
      </c>
      <c r="C10">
        <v>15.4</v>
      </c>
      <c r="D10">
        <v>39.200000000000003</v>
      </c>
      <c r="E10">
        <v>146</v>
      </c>
      <c r="G10" t="s">
        <v>16</v>
      </c>
      <c r="H10" s="1">
        <f t="shared" si="1"/>
        <v>0.191</v>
      </c>
      <c r="I10" s="1">
        <f t="shared" si="0"/>
        <v>4.4000000000000003E-3</v>
      </c>
      <c r="J10" s="1">
        <f t="shared" si="0"/>
        <v>0.112</v>
      </c>
      <c r="K10" s="1">
        <f t="shared" si="0"/>
        <v>7.2999999999999995E-2</v>
      </c>
    </row>
    <row r="11" spans="1:11" x14ac:dyDescent="0.25">
      <c r="A11" t="s">
        <v>17</v>
      </c>
      <c r="B11">
        <v>183.6</v>
      </c>
      <c r="C11">
        <v>7.35</v>
      </c>
      <c r="D11">
        <v>61.95</v>
      </c>
      <c r="E11">
        <v>66</v>
      </c>
      <c r="G11" t="s">
        <v>17</v>
      </c>
      <c r="H11" s="1">
        <f t="shared" si="1"/>
        <v>0.20399999999999999</v>
      </c>
      <c r="I11" s="1">
        <f t="shared" si="0"/>
        <v>2.0999999999999999E-3</v>
      </c>
      <c r="J11" s="1">
        <f t="shared" si="0"/>
        <v>0.17700000000000002</v>
      </c>
      <c r="K11" s="1">
        <f t="shared" si="0"/>
        <v>3.3000000000000002E-2</v>
      </c>
    </row>
    <row r="12" spans="1:11" x14ac:dyDescent="0.25">
      <c r="A12" t="s">
        <v>18</v>
      </c>
      <c r="B12">
        <v>188.1</v>
      </c>
      <c r="C12">
        <v>10.85</v>
      </c>
      <c r="D12">
        <v>52.15</v>
      </c>
      <c r="E12">
        <v>186</v>
      </c>
      <c r="G12" t="s">
        <v>18</v>
      </c>
      <c r="H12" s="1">
        <f t="shared" si="1"/>
        <v>0.20899999999999999</v>
      </c>
      <c r="I12" s="1">
        <f t="shared" si="0"/>
        <v>3.0999999999999999E-3</v>
      </c>
      <c r="J12" s="1">
        <f t="shared" si="0"/>
        <v>0.14899999999999999</v>
      </c>
      <c r="K12" s="1">
        <f t="shared" si="0"/>
        <v>9.2999999999999999E-2</v>
      </c>
    </row>
    <row r="13" spans="1:11" x14ac:dyDescent="0.25">
      <c r="A13" t="s">
        <v>19</v>
      </c>
      <c r="B13">
        <v>103.5</v>
      </c>
      <c r="C13">
        <v>0</v>
      </c>
      <c r="D13">
        <v>20.3</v>
      </c>
      <c r="E13">
        <v>18</v>
      </c>
      <c r="G13" t="s">
        <v>19</v>
      </c>
      <c r="H13" s="1">
        <f t="shared" si="1"/>
        <v>0.115</v>
      </c>
      <c r="I13" s="1">
        <f t="shared" si="0"/>
        <v>0</v>
      </c>
      <c r="J13" s="1">
        <f t="shared" si="0"/>
        <v>5.8000000000000003E-2</v>
      </c>
      <c r="K13" s="1">
        <f t="shared" si="0"/>
        <v>8.9999999999999993E-3</v>
      </c>
    </row>
    <row r="14" spans="1:11" x14ac:dyDescent="0.25">
      <c r="A14" t="s">
        <v>20</v>
      </c>
      <c r="B14">
        <v>315</v>
      </c>
      <c r="C14">
        <v>12.95</v>
      </c>
      <c r="D14">
        <v>57.05</v>
      </c>
      <c r="E14">
        <v>38</v>
      </c>
      <c r="G14" t="s">
        <v>20</v>
      </c>
      <c r="H14" s="1">
        <f t="shared" si="1"/>
        <v>0.35</v>
      </c>
      <c r="I14" s="1">
        <f t="shared" si="0"/>
        <v>3.6999999999999997E-3</v>
      </c>
      <c r="J14" s="1">
        <f t="shared" si="0"/>
        <v>0.16299999999999998</v>
      </c>
      <c r="K14" s="1">
        <f t="shared" si="0"/>
        <v>1.9E-2</v>
      </c>
    </row>
    <row r="15" spans="1:11" x14ac:dyDescent="0.25">
      <c r="A15" t="s">
        <v>21</v>
      </c>
      <c r="B15">
        <v>67.5</v>
      </c>
      <c r="C15">
        <v>1.05</v>
      </c>
      <c r="D15">
        <v>23.8</v>
      </c>
      <c r="E15">
        <v>16</v>
      </c>
      <c r="G15" t="s">
        <v>21</v>
      </c>
      <c r="H15" s="1">
        <f t="shared" si="1"/>
        <v>7.4999999999999997E-2</v>
      </c>
      <c r="I15" s="1">
        <f t="shared" si="0"/>
        <v>3.0000000000000003E-4</v>
      </c>
      <c r="J15" s="1">
        <f t="shared" si="0"/>
        <v>6.8000000000000005E-2</v>
      </c>
      <c r="K15" s="1">
        <f t="shared" si="0"/>
        <v>8.0000000000000002E-3</v>
      </c>
    </row>
    <row r="17" spans="1:11" x14ac:dyDescent="0.25">
      <c r="A17" t="s">
        <v>22</v>
      </c>
      <c r="B17">
        <f>MAX(B4:B15)</f>
        <v>315</v>
      </c>
      <c r="C17">
        <f>MAX(C4:C15)</f>
        <v>15.4</v>
      </c>
      <c r="D17">
        <f>MAX(D4:D15)</f>
        <v>61.95</v>
      </c>
      <c r="E17">
        <f>MAX(E4:E15)</f>
        <v>186</v>
      </c>
      <c r="G17" t="s">
        <v>25</v>
      </c>
      <c r="H17">
        <v>900</v>
      </c>
      <c r="I17">
        <v>3500</v>
      </c>
      <c r="J17">
        <v>350</v>
      </c>
      <c r="K17">
        <v>2000</v>
      </c>
    </row>
    <row r="18" spans="1:11" x14ac:dyDescent="0.25">
      <c r="A18" t="s">
        <v>23</v>
      </c>
      <c r="B18">
        <f>MATCH(B17,B4:B15,0)</f>
        <v>11</v>
      </c>
      <c r="C18">
        <f t="shared" ref="C18:E18" si="2">MATCH(C17,C4:C15,0)</f>
        <v>7</v>
      </c>
      <c r="D18">
        <f t="shared" si="2"/>
        <v>8</v>
      </c>
      <c r="E18">
        <f t="shared" si="2"/>
        <v>9</v>
      </c>
    </row>
    <row r="19" spans="1:11" x14ac:dyDescent="0.25">
      <c r="B19" t="str">
        <f>INDEX(A4:A15,B18,0)</f>
        <v>Kékkút</v>
      </c>
    </row>
    <row r="20" spans="1:11" x14ac:dyDescent="0.25">
      <c r="A20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Vizeink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Köteles Marcell</dc:creator>
  <cp:lastModifiedBy>Köteles Marcell</cp:lastModifiedBy>
  <dcterms:created xsi:type="dcterms:W3CDTF">2026-01-09T08:58:48Z</dcterms:created>
  <dcterms:modified xsi:type="dcterms:W3CDTF">2026-01-09T09:34:30Z</dcterms:modified>
</cp:coreProperties>
</file>